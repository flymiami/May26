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 Ladder" sheetId="1" state="visible" r:id="rId1"/>
    <sheet xmlns:r="http://schemas.openxmlformats.org/officeDocument/2006/relationships" name="30-Day Revenue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#,##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</font>
    <font>
      <name val="Arial"/>
      <color rgb="000000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165" fontId="6" fillId="0" borderId="0" pivotButton="0" quotePrefix="0" xfId="0"/>
    <xf numFmtId="164" fontId="5" fillId="3" borderId="0" pivotButton="0" quotePrefix="0" xfId="0"/>
    <xf numFmtId="166" fontId="5" fillId="3" borderId="0" pivotButton="0" quotePrefix="0" xfId="0"/>
    <xf numFmtId="3" fontId="4" fillId="0" borderId="0" pivotButton="0" quotePrefix="0" xfId="0"/>
    <xf numFmtId="3" fontId="5" fillId="3" borderId="0" pivotButton="0" quotePrefix="0" xfId="0"/>
    <xf numFmtId="3" fontId="6" fillId="0" borderId="0" pivotButton="0" quotePrefix="0" xfId="0"/>
    <xf numFmtId="165" fontId="5" fillId="3" borderId="0" pivotButton="0" quotePrefix="0" xfId="0"/>
    <xf numFmtId="0" fontId="2" fillId="0" borderId="0" applyAlignment="1" pivotButton="0" quotePrefix="0" xfId="0">
      <alignment wrapText="1"/>
    </xf>
    <xf numFmtId="167" fontId="6" fillId="0" borderId="0" pivotButton="0" quotePrefix="0" xfId="0"/>
    <xf numFmtId="0" fontId="4" fillId="0" borderId="1" pivotButton="0" quotePrefix="0" xfId="0"/>
    <xf numFmtId="165" fontId="5" fillId="3" borderId="1" pivotButton="0" quotePrefix="0" xfId="0"/>
    <xf numFmtId="167" fontId="0" fillId="0" borderId="1" pivotButton="0" quotePrefix="0" xfId="0"/>
    <xf numFmtId="164" fontId="5" fillId="3" borderId="1" pivotButton="0" quotePrefix="0" xfId="0"/>
    <xf numFmtId="164" fontId="0" fillId="0" borderId="1" pivotButton="0" quotePrefix="0" xfId="0"/>
    <xf numFmtId="0" fontId="6" fillId="0" borderId="1" pivotButton="0" quotePrefix="0" xfId="0"/>
    <xf numFmtId="165" fontId="6" fillId="0" borderId="1" pivotButton="0" quotePrefix="0" xfId="0"/>
    <xf numFmtId="167" fontId="6" fillId="0" borderId="1" pivotButton="0" quotePrefix="0" xfId="0"/>
    <xf numFmtId="0" fontId="0" fillId="0" borderId="1" pivotButton="0" quotePrefix="0" xfId="0"/>
    <xf numFmtId="164" fontId="6" fillId="0" borderId="1" pivotButton="0" quotePrefix="0" xfId="0"/>
    <xf numFmtId="164" fontId="6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0" customWidth="1" min="3" max="3"/>
    <col width="11" customWidth="1" min="4" max="4"/>
    <col width="11" customWidth="1" min="5" max="5"/>
    <col width="12" customWidth="1" min="6" max="6"/>
    <col width="14" customWidth="1" min="7" max="7"/>
    <col width="14" customWidth="1" min="8" max="8"/>
    <col width="46" customWidth="1" min="9" max="9"/>
    <col width="16" customWidth="1" min="10" max="10"/>
  </cols>
  <sheetData>
    <row r="1">
      <c r="A1" s="1" t="inlineStr">
        <is>
          <t>FLY Miami Art — Offer Ladder &amp; Margin Model</t>
        </is>
      </c>
    </row>
    <row r="2">
      <c r="A2" s="2" t="inlineStr">
        <is>
          <t>Yellow cells are editable assumptions. Replace estimated COGS with actual studio costs when known.</t>
        </is>
      </c>
    </row>
    <row r="4" ht="34" customHeight="1">
      <c r="A4" s="3" t="inlineStr">
        <is>
          <t>Tier</t>
        </is>
      </c>
      <c r="B4" s="3" t="inlineStr">
        <is>
          <t>Product Name</t>
        </is>
      </c>
      <c r="C4" s="3" t="inlineStr">
        <is>
          <t>Status</t>
        </is>
      </c>
      <c r="D4" s="3" t="inlineStr">
        <is>
          <t>Price</t>
        </is>
      </c>
      <c r="E4" s="3" t="inlineStr">
        <is>
          <t>Est. COGS</t>
        </is>
      </c>
      <c r="F4" s="3" t="inlineStr">
        <is>
          <t>Est. COGS %</t>
        </is>
      </c>
      <c r="G4" s="3" t="inlineStr">
        <is>
          <t>Gross Margin $</t>
        </is>
      </c>
      <c r="H4" s="3" t="inlineStr">
        <is>
          <t>Gross Margin %</t>
        </is>
      </c>
      <c r="I4" s="3" t="inlineStr">
        <is>
          <t>Positioning Note</t>
        </is>
      </c>
      <c r="J4" s="3" t="inlineStr">
        <is>
          <t>Homepage Priority (1-6)</t>
        </is>
      </c>
    </row>
    <row r="5" ht="34" customHeight="1">
      <c r="A5" s="4" t="inlineStr">
        <is>
          <t>Entry</t>
        </is>
      </c>
      <c r="B5" s="5" t="inlineStr">
        <is>
          <t>FLY Duck Art Print, 8x10</t>
        </is>
      </c>
      <c r="C5" s="4" t="inlineStr">
        <is>
          <t>New</t>
        </is>
      </c>
      <c r="D5" s="6" t="n">
        <v>28</v>
      </c>
      <c r="E5" s="6" t="n">
        <v>6</v>
      </c>
      <c r="F5" s="7">
        <f>E5/D5</f>
        <v/>
      </c>
      <c r="G5" s="8">
        <f>D5-E5</f>
        <v/>
      </c>
      <c r="H5" s="7">
        <f>G5/D5</f>
        <v/>
      </c>
      <c r="I5" s="9" t="inlineStr">
        <is>
          <t>Door opener print, zero risk first purchase, drives Meta/Instagram entry traffic.</t>
        </is>
      </c>
      <c r="J5" s="4" t="n">
        <v>1</v>
      </c>
    </row>
    <row r="6" ht="34" customHeight="1">
      <c r="A6" s="4" t="inlineStr">
        <is>
          <t>Entry</t>
        </is>
      </c>
      <c r="B6" s="5" t="inlineStr">
        <is>
          <t>FLY Duck Pride &amp; Love Tee</t>
        </is>
      </c>
      <c r="C6" s="4" t="inlineStr">
        <is>
          <t>Existing - Reposition</t>
        </is>
      </c>
      <c r="D6" s="6" t="n">
        <v>35</v>
      </c>
      <c r="E6" s="6" t="n">
        <v>11</v>
      </c>
      <c r="F6" s="7">
        <f>E6/D6</f>
        <v/>
      </c>
      <c r="G6" s="8">
        <f>D6-E6</f>
        <v/>
      </c>
      <c r="H6" s="7">
        <f>G6/D6</f>
        <v/>
      </c>
      <c r="I6" s="9" t="inlineStr">
        <is>
          <t>Wearable brand proof, already in catalog, move up in homepage order.</t>
        </is>
      </c>
      <c r="J6" s="4" t="n">
        <v>2</v>
      </c>
    </row>
    <row r="7" ht="34" customHeight="1">
      <c r="A7" s="4" t="inlineStr">
        <is>
          <t>Mid</t>
        </is>
      </c>
      <c r="B7" s="5" t="inlineStr">
        <is>
          <t>FLY Duck Signed Limited Print, 11x14 /100</t>
        </is>
      </c>
      <c r="C7" s="4" t="inlineStr">
        <is>
          <t>New</t>
        </is>
      </c>
      <c r="D7" s="6" t="n">
        <v>150</v>
      </c>
      <c r="E7" s="6" t="n">
        <v>18</v>
      </c>
      <c r="F7" s="7">
        <f>E7/D7</f>
        <v/>
      </c>
      <c r="G7" s="8">
        <f>D7-E7</f>
        <v/>
      </c>
      <c r="H7" s="7">
        <f>G7/D7</f>
        <v/>
      </c>
      <c r="I7" s="9" t="inlineStr">
        <is>
          <t>Bridge from print buyer to original buyer, signed &amp; numbered scarcity.</t>
        </is>
      </c>
      <c r="J7" s="4" t="n">
        <v>3</v>
      </c>
    </row>
    <row r="8" ht="34" customHeight="1">
      <c r="A8" s="4" t="inlineStr">
        <is>
          <t>Mid</t>
        </is>
      </c>
      <c r="B8" s="5" t="inlineStr">
        <is>
          <t>Mini Proud Love 3D</t>
        </is>
      </c>
      <c r="C8" s="4" t="inlineStr">
        <is>
          <t>Existing - Reposition</t>
        </is>
      </c>
      <c r="D8" s="6" t="n">
        <v>120</v>
      </c>
      <c r="E8" s="6" t="n">
        <v>35</v>
      </c>
      <c r="F8" s="7">
        <f>E8/D8</f>
        <v/>
      </c>
      <c r="G8" s="8">
        <f>D8-E8</f>
        <v/>
      </c>
      <c r="H8" s="7">
        <f>G8/D8</f>
        <v/>
      </c>
      <c r="I8" s="9" t="inlineStr">
        <is>
          <t>Cheapest real hand-built original on the site, highest leverage reposition.</t>
        </is>
      </c>
      <c r="J8" s="4" t="n">
        <v>4</v>
      </c>
    </row>
    <row r="9" ht="34" customHeight="1">
      <c r="A9" s="4" t="inlineStr">
        <is>
          <t>Fine Art</t>
        </is>
      </c>
      <c r="B9" s="5" t="inlineStr">
        <is>
          <t>Shadow of Firenze (Giglio Nero)</t>
        </is>
      </c>
      <c r="C9" s="4" t="inlineStr">
        <is>
          <t>Existing - Reposition</t>
        </is>
      </c>
      <c r="D9" s="6" t="n">
        <v>1000</v>
      </c>
      <c r="E9" s="6" t="n">
        <v>280</v>
      </c>
      <c r="F9" s="7">
        <f>E9/D9</f>
        <v/>
      </c>
      <c r="G9" s="8">
        <f>D9-E9</f>
        <v/>
      </c>
      <c r="H9" s="7">
        <f>G9/D9</f>
        <v/>
      </c>
      <c r="I9" s="9" t="inlineStr">
        <is>
          <t>Marketed as "your first FLY original," lowest full original price point.</t>
        </is>
      </c>
      <c r="J9" s="4" t="n">
        <v>5</v>
      </c>
    </row>
    <row r="10" ht="34" customHeight="1">
      <c r="A10" s="4" t="inlineStr">
        <is>
          <t>Fine Art</t>
        </is>
      </c>
      <c r="B10" s="5" t="inlineStr">
        <is>
          <t>Proud Love</t>
        </is>
      </c>
      <c r="C10" s="4" t="inlineStr">
        <is>
          <t>Existing - Reposition</t>
        </is>
      </c>
      <c r="D10" s="6" t="n">
        <v>30000</v>
      </c>
      <c r="E10" s="6" t="n">
        <v>6500</v>
      </c>
      <c r="F10" s="7">
        <f>E10/D10</f>
        <v/>
      </c>
      <c r="G10" s="8">
        <f>D10-E10</f>
        <v/>
      </c>
      <c r="H10" s="7">
        <f>G10/D10</f>
        <v/>
      </c>
      <c r="I10" s="9" t="inlineStr">
        <is>
          <t>Flagship anchor, not meant to convert cold traffic, makes mid tier look reasonable.</t>
        </is>
      </c>
      <c r="J10" s="4" t="n">
        <v>6</v>
      </c>
    </row>
    <row r="12">
      <c r="A12" s="10" t="inlineStr">
        <is>
          <t>Average Gross Margin % by Tier</t>
        </is>
      </c>
    </row>
    <row r="13">
      <c r="A13" s="11" t="inlineStr">
        <is>
          <t>Entry</t>
        </is>
      </c>
      <c r="B13" s="12">
        <f>AVERAGEIF($A$5:$A$10,A13,$H$5:$H$10)</f>
        <v/>
      </c>
    </row>
    <row r="14">
      <c r="A14" s="11" t="inlineStr">
        <is>
          <t>Mid</t>
        </is>
      </c>
      <c r="B14" s="12">
        <f>AVERAGEIF($A$5:$A$10,A14,$H$5:$H$10)</f>
        <v/>
      </c>
    </row>
    <row r="15">
      <c r="A15" s="11" t="inlineStr">
        <is>
          <t>Fine Art</t>
        </is>
      </c>
      <c r="B15" s="12">
        <f>AVERAGEIF($A$5:$A$10,A15,$H$5:$H$10)</f>
        <v/>
      </c>
    </row>
    <row r="17">
      <c r="A17" s="10" t="inlineStr">
        <is>
          <t>Overall Average Gross Margin %</t>
        </is>
      </c>
      <c r="B17" s="12">
        <f>AVERAGE(H5:H10)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22" customWidth="1" min="4" max="4"/>
    <col width="20" customWidth="1" min="5" max="5"/>
  </cols>
  <sheetData>
    <row r="1">
      <c r="A1" s="1" t="inlineStr">
        <is>
          <t>FLY Miami Art — 30 Day Revenue Model</t>
        </is>
      </c>
    </row>
    <row r="2">
      <c r="A2" s="2" t="inlineStr">
        <is>
          <t>Yellow cells are editable assumptions. All other cells are formulas that recalculate automatically.</t>
        </is>
      </c>
    </row>
    <row r="4">
      <c r="A4" s="10" t="inlineStr">
        <is>
          <t>Traffic &amp; Conversion Inputs</t>
        </is>
      </c>
    </row>
    <row r="5">
      <c r="A5" s="10" t="inlineStr">
        <is>
          <t>Ad Budget ($)</t>
        </is>
      </c>
      <c r="B5" s="13" t="n">
        <v>500</v>
      </c>
    </row>
    <row r="6">
      <c r="A6" s="10" t="inlineStr">
        <is>
          <t>Avg CPC ($)</t>
        </is>
      </c>
      <c r="B6" s="14" t="n">
        <v>1</v>
      </c>
    </row>
    <row r="7">
      <c r="A7" s="11" t="inlineStr">
        <is>
          <t>Paid Clicks (Sessions)</t>
        </is>
      </c>
      <c r="B7" s="15">
        <f>B5/B6</f>
        <v/>
      </c>
    </row>
    <row r="8">
      <c r="A8" s="10" t="inlineStr">
        <is>
          <t>Organic Sessions (SEO + Instagram, 30 days)</t>
        </is>
      </c>
      <c r="B8" s="16" t="n">
        <v>1500</v>
      </c>
    </row>
    <row r="9">
      <c r="A9" s="10" t="inlineStr">
        <is>
          <t>Total Sessions</t>
        </is>
      </c>
      <c r="B9" s="17">
        <f>B7+B8</f>
        <v/>
      </c>
    </row>
    <row r="10">
      <c r="A10" s="10" t="inlineStr">
        <is>
          <t>Site-Wide Conversion Rate</t>
        </is>
      </c>
      <c r="B10" s="18" t="n">
        <v>0.05</v>
      </c>
    </row>
    <row r="11">
      <c r="A11" s="19" t="inlineStr">
        <is>
          <t>5% assumes the offer ladder and tracking fixes in this delivery are live; typical cold e-commerce traffic converts at 1-3%, so treat 100 orders as the target this budget is sized for, not a guarantee — see kill criteria in the 30 Day Traffic Plan.</t>
        </is>
      </c>
    </row>
    <row r="12">
      <c r="A12" s="10" t="inlineStr">
        <is>
          <t>Total Orders</t>
        </is>
      </c>
      <c r="B12" s="20">
        <f>B9*B10</f>
        <v/>
      </c>
    </row>
    <row r="14">
      <c r="A14" s="19" t="inlineStr">
        <is>
          <t>Total Revenue and Blended AOV below are calculated from the Order Mix by Tier table, not entered directly, so the two always agree with each other.</t>
        </is>
      </c>
    </row>
    <row r="15">
      <c r="A15" s="10" t="inlineStr">
        <is>
          <t>Order Mix by Tier</t>
        </is>
      </c>
    </row>
    <row r="16">
      <c r="A16" s="3" t="inlineStr">
        <is>
          <t>Tier</t>
        </is>
      </c>
      <c r="B16" s="3" t="inlineStr">
        <is>
          <t>% of Orders</t>
        </is>
      </c>
      <c r="C16" s="3" t="inlineStr">
        <is>
          <t>Order Count</t>
        </is>
      </c>
      <c r="D16" s="3" t="inlineStr">
        <is>
          <t>Avg Price Assumption ($)</t>
        </is>
      </c>
      <c r="E16" s="3" t="inlineStr">
        <is>
          <t>Revenue Contribution ($)</t>
        </is>
      </c>
    </row>
    <row r="17">
      <c r="A17" s="21" t="inlineStr">
        <is>
          <t>Entry</t>
        </is>
      </c>
      <c r="B17" s="22" t="n">
        <v>0.8</v>
      </c>
      <c r="C17" s="23">
        <f>B12*B17</f>
        <v/>
      </c>
      <c r="D17" s="24" t="n">
        <v>30</v>
      </c>
      <c r="E17" s="25">
        <f>C17*D17</f>
        <v/>
      </c>
    </row>
    <row r="18">
      <c r="A18" s="21" t="inlineStr">
        <is>
          <t>Mid</t>
        </is>
      </c>
      <c r="B18" s="22" t="n">
        <v>0.19</v>
      </c>
      <c r="C18" s="23">
        <f>B12*B18</f>
        <v/>
      </c>
      <c r="D18" s="24" t="n">
        <v>125</v>
      </c>
      <c r="E18" s="25">
        <f>C18*D18</f>
        <v/>
      </c>
    </row>
    <row r="19">
      <c r="A19" s="21" t="inlineStr">
        <is>
          <t>Fine Art</t>
        </is>
      </c>
      <c r="B19" s="22" t="n">
        <v>0.01</v>
      </c>
      <c r="C19" s="23">
        <f>B12*B19</f>
        <v/>
      </c>
      <c r="D19" s="24" t="n">
        <v>1000</v>
      </c>
      <c r="E19" s="25">
        <f>C19*D19</f>
        <v/>
      </c>
    </row>
    <row r="20">
      <c r="A20" s="26" t="inlineStr">
        <is>
          <t>Total</t>
        </is>
      </c>
      <c r="B20" s="27">
        <f>SUM(B17:B19)</f>
        <v/>
      </c>
      <c r="C20" s="28">
        <f>SUM(C17:C19)</f>
        <v/>
      </c>
      <c r="D20" s="29" t="n"/>
      <c r="E20" s="30">
        <f>SUM(E17:E19)</f>
        <v/>
      </c>
    </row>
    <row r="22">
      <c r="A22" s="10" t="inlineStr">
        <is>
          <t>Total Revenue ($) — sum of tier revenue contribution</t>
        </is>
      </c>
      <c r="B22" s="31">
        <f>E20</f>
        <v/>
      </c>
    </row>
    <row r="23">
      <c r="A23" s="11" t="inlineStr">
        <is>
          <t>Blended AOV ($) — Total Revenue ÷ Total Orders</t>
        </is>
      </c>
      <c r="B23" s="32">
        <f>IFERROR(B22/C20,0)</f>
        <v/>
      </c>
    </row>
    <row r="25" ht="46" customHeight="1">
      <c r="A25" s="19" t="inlineStr">
        <is>
          <t>% of Orders in the tier mix table must sum to 100% (see Total row above). Order Count and Total Orders will show as decimals since they are statistical averages over 30 days of traffic, not whole individual orders.</t>
        </is>
      </c>
    </row>
  </sheetData>
  <mergeCells count="3">
    <mergeCell ref="A11:E11"/>
    <mergeCell ref="A25:E25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2026-09-02T05:37:46Z</dcterms:created>
  <dcterms:modified xmlns:dcterms="http://purl.org/dc/terms/" xmlns:xsi="http://www.w3.org/2001/XMLSchema-instance" xsi:type="dcterms:W3CDTF">2026-09-02T05:37:46Z</dcterms:modified>
</cp:coreProperties>
</file>